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FI Profiles" sheetId="3" state="visible" r:id="rId5"/>
    <sheet name="ROI Model" sheetId="4" state="visible" r:id="rId6"/>
    <sheet name="Sensitivity" sheetId="5" state="visible" r:id="rId7"/>
    <sheet name="Methodology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<sst xmlns="http://schemas.openxmlformats.org/spreadsheetml/2006/main" count="133" uniqueCount="120">
  <si>
    <t xml:space="preserve">PAYFINIA — MIGRATION ROI: HEADLINE RESULTS</t>
  </si>
  <si>
    <t xml:space="preserve">Annual financial impact of migrating legacy volume to instant rails (full-cost model, v2).</t>
  </si>
  <si>
    <t xml:space="preserve">Result</t>
  </si>
  <si>
    <t xml:space="preserve">Small CFI</t>
  </si>
  <si>
    <t xml:space="preserve">Mid CFI</t>
  </si>
  <si>
    <t xml:space="preserve">Large CFI</t>
  </si>
  <si>
    <t xml:space="preserve">Net annual benefit</t>
  </si>
  <si>
    <t xml:space="preserve">Gross annual savings</t>
  </si>
  <si>
    <t xml:space="preserve">Year-1 ROI</t>
  </si>
  <si>
    <t xml:space="preserve">Payback (months)</t>
  </si>
  <si>
    <t xml:space="preserve">5-year NPV</t>
  </si>
  <si>
    <t xml:space="preserve">Full-cost model (8 components/rail + fixed costs). Illustrative until calibrated with Payfinia data. See Methodology &amp; Sources tabs.</t>
  </si>
  <si>
    <t xml:space="preserve">ASSUMPTIONS — full cost stack (blue = editable inputs)</t>
  </si>
  <si>
    <t xml:space="preserve">Every rail's fully-loaded cost is built from 8 components. Change any blue cell and all results update. Sources on the 'Sources' tab.</t>
  </si>
  <si>
    <t xml:space="preserve">Cost component ($/txn)</t>
  </si>
  <si>
    <t xml:space="preserve">Check</t>
  </si>
  <si>
    <t xml:space="preserve">Wire</t>
  </si>
  <si>
    <t xml:space="preserve">Same-Day ACH</t>
  </si>
  <si>
    <t xml:space="preserve">ACH</t>
  </si>
  <si>
    <t xml:space="preserve">Instant</t>
  </si>
  <si>
    <t xml:space="preserve">1. Network fee</t>
  </si>
  <si>
    <t xml:space="preserve">2. Processing / operations</t>
  </si>
  <si>
    <t xml:space="preserve">3a. Failure/return rate (%)</t>
  </si>
  <si>
    <t xml:space="preserve">3b. Cost per failed item</t>
  </si>
  <si>
    <t xml:space="preserve">3. Failure &amp; exception cost</t>
  </si>
  <si>
    <t xml:space="preserve">4. Fraud loss (expected)</t>
  </si>
  <si>
    <t xml:space="preserve">5. Fraud prevention / screening</t>
  </si>
  <si>
    <t xml:space="preserve">6. Compliance (AML/sanctions)</t>
  </si>
  <si>
    <t xml:space="preserve">7. Reconciliation</t>
  </si>
  <si>
    <t xml:space="preserve">8. Liquidity / prefunding</t>
  </si>
  <si>
    <t xml:space="preserve">TOTAL cost per transaction</t>
  </si>
  <si>
    <t xml:space="preserve">Substitution % (legacy→instant)</t>
  </si>
  <si>
    <t xml:space="preserve">n/a</t>
  </si>
  <si>
    <t xml:space="preserve">Discount rate (NPV)</t>
  </si>
  <si>
    <t xml:space="preserve">Horizon (years)</t>
  </si>
  <si>
    <t xml:space="preserve">Note:</t>
  </si>
  <si>
    <t xml:space="preserve">Instant is NOT free: its fraud loss, real-time screening and prefunding push its full cost to ~$0.77/txn. Because standard ACH already costs less than that, migrating ACH shows a NEGATIVE saving — an honest result. The ROI is driven by checks and wires.</t>
  </si>
  <si>
    <t xml:space="preserve">CFI PROFILES (blue = inputs — replace with a real prospect)</t>
  </si>
  <si>
    <t xml:space="preserve">Annual transaction volumes by legacy rail + institution-specific one-time and annual fixed costs.</t>
  </si>
  <si>
    <t xml:space="preserve">CFI</t>
  </si>
  <si>
    <t xml:space="preserve">Assets</t>
  </si>
  <si>
    <t xml:space="preserve">Members</t>
  </si>
  <si>
    <t xml:space="preserve">Check vol</t>
  </si>
  <si>
    <t xml:space="preserve">Wire vol</t>
  </si>
  <si>
    <t xml:space="preserve">Same-Day ACH vol</t>
  </si>
  <si>
    <t xml:space="preserve">ACH vol</t>
  </si>
  <si>
    <t xml:space="preserve">One-time cost</t>
  </si>
  <si>
    <t xml:space="preserve">Annual fixed cost</t>
  </si>
  <si>
    <t xml:space="preserve">$200M</t>
  </si>
  <si>
    <t xml:space="preserve">$1B</t>
  </si>
  <si>
    <t xml:space="preserve">$5B</t>
  </si>
  <si>
    <t xml:space="preserve">MIGRATION ROI MODEL (v2)</t>
  </si>
  <si>
    <t xml:space="preserve">Live formulas linked to Assumptions and CFI Profiles. Negative ACH saving is expected (ACH already cheaper than instant).</t>
  </si>
  <si>
    <t xml:space="preserve">Metric</t>
  </si>
  <si>
    <t xml:space="preserve">Migrated Check volume</t>
  </si>
  <si>
    <t xml:space="preserve">Migrated Wire volume</t>
  </si>
  <si>
    <t xml:space="preserve">Migrated Same-Day ACH volume</t>
  </si>
  <si>
    <t xml:space="preserve">Migrated ACH volume</t>
  </si>
  <si>
    <t xml:space="preserve">Savings per txn — Check</t>
  </si>
  <si>
    <t xml:space="preserve">Savings per txn — Wire</t>
  </si>
  <si>
    <t xml:space="preserve">Savings per txn — Same-Day ACH</t>
  </si>
  <si>
    <t xml:space="preserve">Savings per txn — ACH</t>
  </si>
  <si>
    <t xml:space="preserve">Annual savings — Check</t>
  </si>
  <si>
    <t xml:space="preserve">Annual savings — Wire</t>
  </si>
  <si>
    <t xml:space="preserve">Annual savings — Same-Day ACH</t>
  </si>
  <si>
    <t xml:space="preserve">Annual savings — ACH</t>
  </si>
  <si>
    <t xml:space="preserve">GROSS annual savings</t>
  </si>
  <si>
    <t xml:space="preserve">Less: annual fixed cost</t>
  </si>
  <si>
    <t xml:space="preserve">NET annual benefit</t>
  </si>
  <si>
    <t xml:space="preserve">Payback period (months)</t>
  </si>
  <si>
    <t xml:space="preserve">SENSITIVITY ANALYSIS (Mid CFI)</t>
  </si>
  <si>
    <t xml:space="preserve">Which input moves ROI most? Two one-way sensitivities on the Mid CFI.</t>
  </si>
  <si>
    <t xml:space="preserve">1) Substitution-rate multiplier</t>
  </si>
  <si>
    <t xml:space="preserve">Multiplier</t>
  </si>
  <si>
    <t xml:space="preserve">2) Instant fully-loaded cost ($/txn)</t>
  </si>
  <si>
    <t xml:space="preserve">Instant cost</t>
  </si>
  <si>
    <t xml:space="preserve">Takeaway:</t>
  </si>
  <si>
    <t xml:space="preserve">ROI is most sensitive to (1) how much check &amp; wire volume migrates and (2) the true fully-loaded cost of instant. If instant costs ~$2/txn, migration stops paying. These are the parameters to calibrate with Payfinia production data.</t>
  </si>
  <si>
    <t xml:space="preserve">METHODOLOGY (v2 — detailed cost model)</t>
  </si>
  <si>
    <t xml:space="preserve">The cost stack — 8 components per transaction (Assumptions tab)</t>
  </si>
  <si>
    <t xml:space="preserve">1 Network fee · 2 Processing/labor · 3 Failure &amp; exception (return rate x cost per failed item) · 4 Fraud loss · 5 Fraud prevention/screening · 6 Compliance (AML/sanctions) · 7 Reconciliation · 8 Liquidity/prefunding.</t>
  </si>
  <si>
    <t xml:space="preserve">Fully-loaded cost per rail = the sum of these eight. Instant carries real fraud, screening, and prefunding costs, so it is ~$0.77/txn — not free.</t>
  </si>
  <si>
    <t xml:space="preserve">How the ROI is built (4 steps)</t>
  </si>
  <si>
    <t xml:space="preserve">1 SUBSTITUTION: only a share of each legacy rail's volume migrates (never 100%).</t>
  </si>
  <si>
    <t xml:space="preserve">2 SAVINGS/TXN: legacy fully-loaded cost minus instant fully-loaded cost. This is NEGATIVE for standard ACH.</t>
  </si>
  <si>
    <t xml:space="preserve">3 ANNUAL: migrated volume x savings per txn, summed across rails = gross savings. Minus annual fixed cost = net benefit.</t>
  </si>
  <si>
    <t xml:space="preserve">4 RETURNS: ROI = net benefit / one-time cost; payback = one-time / net; NPV discounts 5 years of net benefit at 10% minus the one-time cost.</t>
  </si>
  <si>
    <t xml:space="preserve">Why it is defensible now</t>
  </si>
  <si>
    <t xml:space="preserve">Every cost line is itemized, sourced, and adjustable. The model no longer treats instant as free, includes failure/exception and compliance/liquidity costs, and honestly shows ACH migration as a cost — so a financially-literate prospect can audit it.</t>
  </si>
  <si>
    <t xml:space="preserve">Calibrate these with Payfinia production data</t>
  </si>
  <si>
    <t xml:space="preserve">Fraud loss &amp; prevention per item · true processing/labor per item · failure/return rates · compliance and liquidity carrying cost · real substitution rates.</t>
  </si>
  <si>
    <t xml:space="preserve">SOURCES — benchmark basis for each cost line</t>
  </si>
  <si>
    <t xml:space="preserve">Cost component</t>
  </si>
  <si>
    <t xml:space="preserve">Benchmark basis</t>
  </si>
  <si>
    <t xml:space="preserve">Source</t>
  </si>
  <si>
    <t xml:space="preserve">Network fee</t>
  </si>
  <si>
    <t xml:space="preserve">Fedwire ~$0.82; FedNow/RTP $0.045; ACH fractions of a cent</t>
  </si>
  <si>
    <t xml:space="preserve">Fed / Nacha / TCH pricing (Deliverable 1)</t>
  </si>
  <si>
    <t xml:space="preserve">Processing / labor</t>
  </si>
  <si>
    <t xml:space="preserve">Manual handling for checks/wires; automated for ACH/instant</t>
  </si>
  <si>
    <t xml:space="preserve">Industry op-cost estimates (Deliverable 1)</t>
  </si>
  <si>
    <t xml:space="preserve">Failure &amp; exception</t>
  </si>
  <si>
    <t xml:space="preserve">Return rates ~1.5% overall (Nacha thresholds); return fees $2-$5; avg failed B2B payment $12.10</t>
  </si>
  <si>
    <t xml:space="preserve">Nacha; LexisNexis / industry</t>
  </si>
  <si>
    <t xml:space="preserve">Fraud loss</t>
  </si>
  <si>
    <t xml:space="preserve">2024 losses: check ~$24B, ACH ~$11B, APP ~$12.5B; instant irrevocable</t>
  </si>
  <si>
    <t xml:space="preserve">AFP Fraud Survey; iPiD; industry</t>
  </si>
  <si>
    <t xml:space="preserve">Fraud prevention</t>
  </si>
  <si>
    <t xml:space="preserve">Real-time screening/monitoring tooling per item</t>
  </si>
  <si>
    <t xml:space="preserve">Industry (fraud-prevention vendors)</t>
  </si>
  <si>
    <t xml:space="preserve">Compliance</t>
  </si>
  <si>
    <t xml:space="preserve">AML / OFAC sanctions screening per item; mandatory on wires</t>
  </si>
  <si>
    <t xml:space="preserve">FFIEC; BSA/AML guidance</t>
  </si>
  <si>
    <t xml:space="preserve">Reconciliation</t>
  </si>
  <si>
    <t xml:space="preserve">Matching &amp; breaks handling; heavier for paper rails</t>
  </si>
  <si>
    <t xml:space="preserve">Exception-management research</t>
  </si>
  <si>
    <t xml:space="preserve">Liquidity / prefunding</t>
  </si>
  <si>
    <t xml:space="preserve">RTP prefunded joint account at FRBNY; FedNow liquidity mgmt</t>
  </si>
  <si>
    <t xml:space="preserve">frbservices.org (Deliverable 1)</t>
  </si>
  <si>
    <t xml:space="preserve">Note: dollar figures are conservative public-benchmark midpoints. Replace with Payfinia production data during calibration.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</si>
</sst>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%"/>
    <numFmt numFmtId="167" formatCode="#,##0.0"/>
    <numFmt numFmtId="168" formatCode="\$#,##0.000"/>
    <numFmt numFmtId="169" formatCode="0.0%"/>
    <numFmt numFmtId="170" formatCode="#,##0"/>
    <numFmt numFmtId="171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C6EFCE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annual benefit by CFI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Summary!$B$4:$D$4</c:f>
              <c:strCache>
                <c:ptCount val="3"/>
                <c:pt idx="0">
                  <c:v>Small CFI</c:v>
                </c:pt>
                <c:pt idx="1">
                  <c:v>Mid CFI</c:v>
                </c:pt>
                <c:pt idx="2">
                  <c:v>Large CFI</c:v>
                </c:pt>
              </c:strCache>
            </c:strRef>
          </c:cat>
          <c:val>
            <c:numRef>
              <c:f>Summary!$B$5:$D$5</c:f>
              <c:numCache>
                <c:formatCode>\$#,##0</c:formatCode>
                <c:ptCount val="3"/>
                <c:pt idx="0">
                  <c:v>42900</c:v>
                </c:pt>
                <c:pt idx="1">
                  <c:v>305805</c:v>
                </c:pt>
                <c:pt idx="2">
                  <c:v>1656600</c:v>
                </c:pt>
              </c:numCache>
            </c:numRef>
          </c:val>
        </c:ser>
        <c:gapWidth val="150"/>
        <c:overlap val="0"/>
        <c:axId val="80505292"/>
        <c:axId val="24343457"/>
      </c:barChart>
      <c:catAx>
        <c:axId val="80505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343457"/>
        <c:crosses val="autoZero"/>
        <c:auto val="1"/>
        <c:lblAlgn val="ctr"/>
        <c:lblOffset val="100"/>
        <c:noMultiLvlLbl val="0"/>
      </c:catAx>
      <c:valAx>
        <c:axId val="243434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50529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4</xdr:col>
      <xdr:colOff>473400</xdr:colOff>
      <xdr:row>26</xdr:row>
      <xdr:rowOff>22320</xdr:rowOff>
    </xdr:to>
    <xdr:graphicFrame>
      <xdr:nvGraphicFramePr>
        <xdr:cNvPr id="1" name="Chart 1"/>
        <xdr:cNvGraphicFramePr/>
      </xdr:nvGraphicFramePr>
      <xdr:xfrm>
        <a:off x="0" y="2125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'ROI Model'!B21</f>
        <v>42900</v>
      </c>
      <c r="C5" s="5" t="n">
        <f aca="false">'ROI Model'!C21</f>
        <v>305805</v>
      </c>
      <c r="D5" s="5" t="n">
        <f aca="false">'ROI Model'!D21</f>
        <v>1656600</v>
      </c>
    </row>
    <row r="6" customFormat="false" ht="15" hidden="false" customHeight="false" outlineLevel="0" collapsed="false">
      <c r="A6" s="6" t="s">
        <v>7</v>
      </c>
      <c r="B6" s="7" t="n">
        <f aca="false">'ROI Model'!B19</f>
        <v>72900</v>
      </c>
      <c r="C6" s="7" t="n">
        <f aca="false">'ROI Model'!C19</f>
        <v>365805</v>
      </c>
      <c r="D6" s="7" t="n">
        <f aca="false">'ROI Model'!D19</f>
        <v>1806600</v>
      </c>
    </row>
    <row r="7" customFormat="false" ht="15" hidden="false" customHeight="false" outlineLevel="0" collapsed="false">
      <c r="A7" s="6" t="s">
        <v>8</v>
      </c>
      <c r="B7" s="8" t="n">
        <f aca="false">'ROI Model'!B24</f>
        <v>0.715</v>
      </c>
      <c r="C7" s="8" t="n">
        <f aca="false">'ROI Model'!C24</f>
        <v>2.0387</v>
      </c>
      <c r="D7" s="8" t="n">
        <f aca="false">'ROI Model'!D24</f>
        <v>4.73314285714286</v>
      </c>
    </row>
    <row r="8" customFormat="false" ht="15" hidden="false" customHeight="false" outlineLevel="0" collapsed="false">
      <c r="A8" s="6" t="s">
        <v>9</v>
      </c>
      <c r="B8" s="9" t="n">
        <f aca="false">'ROI Model'!B25</f>
        <v>16.7832167832168</v>
      </c>
      <c r="C8" s="9" t="n">
        <f aca="false">'ROI Model'!C25</f>
        <v>5.88610388973366</v>
      </c>
      <c r="D8" s="9" t="n">
        <f aca="false">'ROI Model'!D25</f>
        <v>2.5353132922854</v>
      </c>
    </row>
    <row r="9" customFormat="false" ht="15" hidden="false" customHeight="false" outlineLevel="0" collapsed="false">
      <c r="A9" s="6" t="s">
        <v>10</v>
      </c>
      <c r="B9" s="7" t="n">
        <f aca="false">'ROI Model'!B26</f>
        <v>102624.752407622</v>
      </c>
      <c r="C9" s="7" t="n">
        <f aca="false">'ROI Model'!C26</f>
        <v>1009241.54801895</v>
      </c>
      <c r="D9" s="7" t="n">
        <f aca="false">'ROI Model'!D26</f>
        <v>5929817.36220204</v>
      </c>
    </row>
    <row r="11" customFormat="false" ht="15" hidden="false" customHeight="false" outlineLevel="0" collapsed="false">
      <c r="A11" s="10" t="s">
        <v>11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customFormat="false" ht="15" hidden="false" customHeight="false" outlineLevel="0" collapsed="false">
      <c r="A5" s="6" t="s">
        <v>20</v>
      </c>
      <c r="B5" s="11" t="n">
        <v>0.03</v>
      </c>
      <c r="C5" s="11" t="n">
        <v>0.82</v>
      </c>
      <c r="D5" s="11" t="n">
        <v>0.05</v>
      </c>
      <c r="E5" s="11" t="n">
        <v>0.005</v>
      </c>
      <c r="F5" s="11" t="n">
        <v>0.045</v>
      </c>
    </row>
    <row r="6" customFormat="false" ht="15" hidden="false" customHeight="false" outlineLevel="0" collapsed="false">
      <c r="A6" s="6" t="s">
        <v>21</v>
      </c>
      <c r="B6" s="11" t="n">
        <v>2</v>
      </c>
      <c r="C6" s="11" t="n">
        <v>12</v>
      </c>
      <c r="D6" s="11" t="n">
        <v>0.8</v>
      </c>
      <c r="E6" s="11" t="n">
        <v>0.15</v>
      </c>
      <c r="F6" s="11" t="n">
        <v>0.1</v>
      </c>
    </row>
    <row r="7" customFormat="false" ht="15" hidden="false" customHeight="false" outlineLevel="0" collapsed="false">
      <c r="A7" s="12" t="s">
        <v>22</v>
      </c>
      <c r="B7" s="13" t="n">
        <v>0.015</v>
      </c>
      <c r="C7" s="13" t="n">
        <v>0.01</v>
      </c>
      <c r="D7" s="13" t="n">
        <v>0.015</v>
      </c>
      <c r="E7" s="13" t="n">
        <v>0.015</v>
      </c>
      <c r="F7" s="13" t="n">
        <v>0.005</v>
      </c>
    </row>
    <row r="8" customFormat="false" ht="15" hidden="false" customHeight="false" outlineLevel="0" collapsed="false">
      <c r="A8" s="6" t="s">
        <v>23</v>
      </c>
      <c r="B8" s="11" t="n">
        <v>8</v>
      </c>
      <c r="C8" s="11" t="n">
        <v>25</v>
      </c>
      <c r="D8" s="11" t="n">
        <v>6</v>
      </c>
      <c r="E8" s="11" t="n">
        <v>4</v>
      </c>
      <c r="F8" s="11" t="n">
        <v>5</v>
      </c>
    </row>
    <row r="9" customFormat="false" ht="15" hidden="false" customHeight="false" outlineLevel="0" collapsed="false">
      <c r="A9" s="14" t="s">
        <v>24</v>
      </c>
      <c r="B9" s="15" t="n">
        <f aca="false">B7*B8</f>
        <v>0.12</v>
      </c>
      <c r="C9" s="15" t="n">
        <f aca="false">C7*C8</f>
        <v>0.25</v>
      </c>
      <c r="D9" s="15" t="n">
        <f aca="false">D7*D8</f>
        <v>0.09</v>
      </c>
      <c r="E9" s="15" t="n">
        <f aca="false">E7*E8</f>
        <v>0.06</v>
      </c>
      <c r="F9" s="15" t="n">
        <f aca="false">F7*F8</f>
        <v>0.025</v>
      </c>
    </row>
    <row r="10" customFormat="false" ht="15" hidden="false" customHeight="false" outlineLevel="0" collapsed="false">
      <c r="A10" s="6" t="s">
        <v>25</v>
      </c>
      <c r="B10" s="11" t="n">
        <v>0.4</v>
      </c>
      <c r="C10" s="11" t="n">
        <v>2</v>
      </c>
      <c r="D10" s="11" t="n">
        <v>0.15</v>
      </c>
      <c r="E10" s="11" t="n">
        <v>0.05</v>
      </c>
      <c r="F10" s="11" t="n">
        <v>0.25</v>
      </c>
    </row>
    <row r="11" customFormat="false" ht="15" hidden="false" customHeight="false" outlineLevel="0" collapsed="false">
      <c r="A11" s="6" t="s">
        <v>26</v>
      </c>
      <c r="B11" s="11" t="n">
        <v>0.1</v>
      </c>
      <c r="C11" s="11" t="n">
        <v>1</v>
      </c>
      <c r="D11" s="11" t="n">
        <v>0.1</v>
      </c>
      <c r="E11" s="11" t="n">
        <v>0.05</v>
      </c>
      <c r="F11" s="11" t="n">
        <v>0.15</v>
      </c>
    </row>
    <row r="12" customFormat="false" ht="15" hidden="false" customHeight="false" outlineLevel="0" collapsed="false">
      <c r="A12" s="6" t="s">
        <v>27</v>
      </c>
      <c r="B12" s="11" t="n">
        <v>0.03</v>
      </c>
      <c r="C12" s="11" t="n">
        <v>2</v>
      </c>
      <c r="D12" s="11" t="n">
        <v>0.05</v>
      </c>
      <c r="E12" s="11" t="n">
        <v>0.03</v>
      </c>
      <c r="F12" s="11" t="n">
        <v>0.1</v>
      </c>
    </row>
    <row r="13" customFormat="false" ht="15" hidden="false" customHeight="false" outlineLevel="0" collapsed="false">
      <c r="A13" s="6" t="s">
        <v>28</v>
      </c>
      <c r="B13" s="11" t="n">
        <v>0.3</v>
      </c>
      <c r="C13" s="11" t="n">
        <v>0.5</v>
      </c>
      <c r="D13" s="11" t="n">
        <v>0.1</v>
      </c>
      <c r="E13" s="11" t="n">
        <v>0.05</v>
      </c>
      <c r="F13" s="11" t="n">
        <v>0.05</v>
      </c>
    </row>
    <row r="14" customFormat="false" ht="15" hidden="false" customHeight="false" outlineLevel="0" collapsed="false">
      <c r="A14" s="6" t="s">
        <v>29</v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0.05</v>
      </c>
    </row>
    <row r="15" customFormat="false" ht="15" hidden="false" customHeight="false" outlineLevel="0" collapsed="false">
      <c r="A15" s="16" t="s">
        <v>30</v>
      </c>
      <c r="B15" s="17" t="n">
        <f aca="false">B5+B6+B9+B10+B11+B12+B13+B14</f>
        <v>2.98</v>
      </c>
      <c r="C15" s="17" t="n">
        <f aca="false">C5+C6+C9+C10+C11+C12+C13+C14</f>
        <v>18.57</v>
      </c>
      <c r="D15" s="17" t="n">
        <f aca="false">D5+D6+D9+D10+D11+D12+D13+D14</f>
        <v>1.34</v>
      </c>
      <c r="E15" s="17" t="n">
        <f aca="false">E5+E6+E9+E10+E11+E12+E13+E14</f>
        <v>0.395</v>
      </c>
      <c r="F15" s="17" t="n">
        <f aca="false">F5+F6+F9+F10+F11+F12+F13+F14</f>
        <v>0.77</v>
      </c>
    </row>
    <row r="17" customFormat="false" ht="15" hidden="false" customHeight="false" outlineLevel="0" collapsed="false">
      <c r="A17" s="18" t="s">
        <v>31</v>
      </c>
      <c r="B17" s="19" t="n">
        <v>0.25</v>
      </c>
      <c r="C17" s="19" t="n">
        <v>0.3</v>
      </c>
      <c r="D17" s="19" t="n">
        <v>0.2</v>
      </c>
      <c r="E17" s="19" t="n">
        <v>0.05</v>
      </c>
      <c r="F17" s="20" t="s">
        <v>32</v>
      </c>
    </row>
    <row r="19" customFormat="false" ht="15" hidden="false" customHeight="false" outlineLevel="0" collapsed="false">
      <c r="A19" s="21" t="s">
        <v>33</v>
      </c>
      <c r="B19" s="22" t="n">
        <v>0.1</v>
      </c>
    </row>
    <row r="20" customFormat="false" ht="15" hidden="false" customHeight="false" outlineLevel="0" collapsed="false">
      <c r="A20" s="21" t="s">
        <v>34</v>
      </c>
      <c r="B20" s="23" t="n">
        <v>5</v>
      </c>
    </row>
    <row r="22" customFormat="false" ht="15" hidden="false" customHeight="false" outlineLevel="0" collapsed="false">
      <c r="A22" s="24" t="s">
        <v>35</v>
      </c>
    </row>
    <row r="23" customFormat="false" ht="15" hidden="false" customHeight="true" outlineLevel="0" collapsed="false">
      <c r="A23" s="25" t="s">
        <v>36</v>
      </c>
      <c r="B23" s="25"/>
      <c r="C23" s="25"/>
      <c r="D23" s="25"/>
      <c r="E23" s="25"/>
      <c r="F23" s="25"/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5"/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5"/>
    </row>
  </sheetData>
  <mergeCells count="3">
    <mergeCell ref="A1:F1"/>
    <mergeCell ref="A2:F2"/>
    <mergeCell ref="A23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</row>
    <row r="5" customFormat="false" ht="15" hidden="false" customHeight="false" outlineLevel="0" collapsed="false">
      <c r="A5" s="4" t="s">
        <v>3</v>
      </c>
      <c r="B5" s="26" t="s">
        <v>48</v>
      </c>
      <c r="C5" s="23" t="n">
        <v>15000</v>
      </c>
      <c r="D5" s="23" t="n">
        <v>120000</v>
      </c>
      <c r="E5" s="23" t="n">
        <v>2000</v>
      </c>
      <c r="F5" s="23" t="n">
        <v>30000</v>
      </c>
      <c r="G5" s="23" t="n">
        <v>400000</v>
      </c>
      <c r="H5" s="27" t="n">
        <v>60000</v>
      </c>
      <c r="I5" s="27" t="n">
        <v>30000</v>
      </c>
    </row>
    <row r="6" customFormat="false" ht="15" hidden="false" customHeight="false" outlineLevel="0" collapsed="false">
      <c r="A6" s="4" t="s">
        <v>4</v>
      </c>
      <c r="B6" s="26" t="s">
        <v>49</v>
      </c>
      <c r="C6" s="23" t="n">
        <v>75000</v>
      </c>
      <c r="D6" s="23" t="n">
        <v>600000</v>
      </c>
      <c r="E6" s="23" t="n">
        <v>12000</v>
      </c>
      <c r="F6" s="23" t="n">
        <v>150000</v>
      </c>
      <c r="G6" s="23" t="n">
        <v>2500000</v>
      </c>
      <c r="H6" s="27" t="n">
        <v>150000</v>
      </c>
      <c r="I6" s="27" t="n">
        <v>60000</v>
      </c>
    </row>
    <row r="7" customFormat="false" ht="15" hidden="false" customHeight="false" outlineLevel="0" collapsed="false">
      <c r="A7" s="4" t="s">
        <v>5</v>
      </c>
      <c r="B7" s="26" t="s">
        <v>50</v>
      </c>
      <c r="C7" s="23" t="n">
        <v>350000</v>
      </c>
      <c r="D7" s="23" t="n">
        <v>3000000</v>
      </c>
      <c r="E7" s="23" t="n">
        <v>60000</v>
      </c>
      <c r="F7" s="23" t="n">
        <v>800000</v>
      </c>
      <c r="G7" s="23" t="n">
        <v>14000000</v>
      </c>
      <c r="H7" s="27" t="n">
        <v>350000</v>
      </c>
      <c r="I7" s="27" t="n">
        <v>150000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" t="s">
        <v>51</v>
      </c>
      <c r="B1" s="1"/>
      <c r="C1" s="1"/>
      <c r="D1" s="1"/>
    </row>
    <row r="2" customFormat="false" ht="15" hidden="false" customHeight="false" outlineLevel="0" collapsed="false">
      <c r="A2" s="2" t="s">
        <v>52</v>
      </c>
      <c r="B2" s="2"/>
      <c r="C2" s="2"/>
      <c r="D2" s="2"/>
    </row>
    <row r="4" customFormat="false" ht="15" hidden="false" customHeight="false" outlineLevel="0" collapsed="false">
      <c r="A4" s="3" t="s">
        <v>53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6" t="s">
        <v>54</v>
      </c>
      <c r="B5" s="28" t="n">
        <f aca="false">'CFI Profiles'!D5*Assumptions!$B$17</f>
        <v>30000</v>
      </c>
      <c r="C5" s="28" t="n">
        <f aca="false">'CFI Profiles'!D6*Assumptions!$B$17</f>
        <v>150000</v>
      </c>
      <c r="D5" s="28" t="n">
        <f aca="false">'CFI Profiles'!D7*Assumptions!$B$17</f>
        <v>750000</v>
      </c>
    </row>
    <row r="6" customFormat="false" ht="15" hidden="false" customHeight="false" outlineLevel="0" collapsed="false">
      <c r="A6" s="6" t="s">
        <v>55</v>
      </c>
      <c r="B6" s="28" t="n">
        <f aca="false">'CFI Profiles'!E5*Assumptions!$C$17</f>
        <v>600</v>
      </c>
      <c r="C6" s="28" t="n">
        <f aca="false">'CFI Profiles'!E6*Assumptions!$C$17</f>
        <v>3600</v>
      </c>
      <c r="D6" s="28" t="n">
        <f aca="false">'CFI Profiles'!E7*Assumptions!$C$17</f>
        <v>18000</v>
      </c>
    </row>
    <row r="7" customFormat="false" ht="15" hidden="false" customHeight="false" outlineLevel="0" collapsed="false">
      <c r="A7" s="6" t="s">
        <v>56</v>
      </c>
      <c r="B7" s="28" t="n">
        <f aca="false">'CFI Profiles'!F5*Assumptions!$D$17</f>
        <v>6000</v>
      </c>
      <c r="C7" s="28" t="n">
        <f aca="false">'CFI Profiles'!F6*Assumptions!$D$17</f>
        <v>30000</v>
      </c>
      <c r="D7" s="28" t="n">
        <f aca="false">'CFI Profiles'!F7*Assumptions!$D$17</f>
        <v>160000</v>
      </c>
    </row>
    <row r="8" customFormat="false" ht="15" hidden="false" customHeight="false" outlineLevel="0" collapsed="false">
      <c r="A8" s="6" t="s">
        <v>57</v>
      </c>
      <c r="B8" s="28" t="n">
        <f aca="false">'CFI Profiles'!G5*Assumptions!$E$17</f>
        <v>20000</v>
      </c>
      <c r="C8" s="28" t="n">
        <f aca="false">'CFI Profiles'!G6*Assumptions!$E$17</f>
        <v>125000</v>
      </c>
      <c r="D8" s="28" t="n">
        <f aca="false">'CFI Profiles'!G7*Assumptions!$E$17</f>
        <v>700000</v>
      </c>
    </row>
    <row r="10" customFormat="false" ht="15" hidden="false" customHeight="false" outlineLevel="0" collapsed="false">
      <c r="A10" s="12" t="s">
        <v>58</v>
      </c>
      <c r="B10" s="15" t="n">
        <f aca="false">Assumptions!$B$15-Assumptions!$F$15</f>
        <v>2.21</v>
      </c>
      <c r="C10" s="15" t="n">
        <f aca="false">Assumptions!$B$15-Assumptions!$F$15</f>
        <v>2.21</v>
      </c>
      <c r="D10" s="15" t="n">
        <f aca="false">Assumptions!$B$15-Assumptions!$F$15</f>
        <v>2.21</v>
      </c>
    </row>
    <row r="11" customFormat="false" ht="15" hidden="false" customHeight="false" outlineLevel="0" collapsed="false">
      <c r="A11" s="12" t="s">
        <v>59</v>
      </c>
      <c r="B11" s="15" t="n">
        <f aca="false">Assumptions!$C$15-Assumptions!$F$15</f>
        <v>17.8</v>
      </c>
      <c r="C11" s="15" t="n">
        <f aca="false">Assumptions!$C$15-Assumptions!$F$15</f>
        <v>17.8</v>
      </c>
      <c r="D11" s="15" t="n">
        <f aca="false">Assumptions!$C$15-Assumptions!$F$15</f>
        <v>17.8</v>
      </c>
    </row>
    <row r="12" customFormat="false" ht="15" hidden="false" customHeight="false" outlineLevel="0" collapsed="false">
      <c r="A12" s="12" t="s">
        <v>60</v>
      </c>
      <c r="B12" s="15" t="n">
        <f aca="false">Assumptions!$D$15-Assumptions!$F$15</f>
        <v>0.57</v>
      </c>
      <c r="C12" s="15" t="n">
        <f aca="false">Assumptions!$D$15-Assumptions!$F$15</f>
        <v>0.57</v>
      </c>
      <c r="D12" s="15" t="n">
        <f aca="false">Assumptions!$D$15-Assumptions!$F$15</f>
        <v>0.57</v>
      </c>
    </row>
    <row r="13" customFormat="false" ht="15" hidden="false" customHeight="false" outlineLevel="0" collapsed="false">
      <c r="A13" s="12" t="s">
        <v>61</v>
      </c>
      <c r="B13" s="15" t="n">
        <f aca="false">Assumptions!$E$15-Assumptions!$F$15</f>
        <v>-0.375</v>
      </c>
      <c r="C13" s="15" t="n">
        <f aca="false">Assumptions!$E$15-Assumptions!$F$15</f>
        <v>-0.375</v>
      </c>
      <c r="D13" s="15" t="n">
        <f aca="false">Assumptions!$E$15-Assumptions!$F$15</f>
        <v>-0.375</v>
      </c>
    </row>
    <row r="15" customFormat="false" ht="15" hidden="false" customHeight="false" outlineLevel="0" collapsed="false">
      <c r="A15" s="6" t="s">
        <v>62</v>
      </c>
      <c r="B15" s="7" t="n">
        <f aca="false">B5*B10</f>
        <v>66300</v>
      </c>
      <c r="C15" s="7" t="n">
        <f aca="false">C5*C10</f>
        <v>331500</v>
      </c>
      <c r="D15" s="7" t="n">
        <f aca="false">D5*D10</f>
        <v>1657500</v>
      </c>
    </row>
    <row r="16" customFormat="false" ht="15" hidden="false" customHeight="false" outlineLevel="0" collapsed="false">
      <c r="A16" s="6" t="s">
        <v>63</v>
      </c>
      <c r="B16" s="7" t="n">
        <f aca="false">B6*B11</f>
        <v>10680</v>
      </c>
      <c r="C16" s="7" t="n">
        <f aca="false">C6*C11</f>
        <v>64080</v>
      </c>
      <c r="D16" s="7" t="n">
        <f aca="false">D6*D11</f>
        <v>320400</v>
      </c>
    </row>
    <row r="17" customFormat="false" ht="15" hidden="false" customHeight="false" outlineLevel="0" collapsed="false">
      <c r="A17" s="6" t="s">
        <v>64</v>
      </c>
      <c r="B17" s="7" t="n">
        <f aca="false">B7*B12</f>
        <v>3420</v>
      </c>
      <c r="C17" s="7" t="n">
        <f aca="false">C7*C12</f>
        <v>17100</v>
      </c>
      <c r="D17" s="7" t="n">
        <f aca="false">D7*D12</f>
        <v>91200</v>
      </c>
    </row>
    <row r="18" customFormat="false" ht="15" hidden="false" customHeight="false" outlineLevel="0" collapsed="false">
      <c r="A18" s="6" t="s">
        <v>65</v>
      </c>
      <c r="B18" s="7" t="n">
        <f aca="false">B8*B13</f>
        <v>-7500</v>
      </c>
      <c r="C18" s="7" t="n">
        <f aca="false">C8*C13</f>
        <v>-46875</v>
      </c>
      <c r="D18" s="7" t="n">
        <f aca="false">D8*D13</f>
        <v>-262500</v>
      </c>
    </row>
    <row r="19" customFormat="false" ht="15" hidden="false" customHeight="false" outlineLevel="0" collapsed="false">
      <c r="A19" s="16" t="s">
        <v>66</v>
      </c>
      <c r="B19" s="29" t="n">
        <f aca="false">SUM(B15:B18)</f>
        <v>72900</v>
      </c>
      <c r="C19" s="29" t="n">
        <f aca="false">SUM(C15:C18)</f>
        <v>365805</v>
      </c>
      <c r="D19" s="29" t="n">
        <f aca="false">SUM(D15:D18)</f>
        <v>1806600</v>
      </c>
    </row>
    <row r="20" customFormat="false" ht="15" hidden="false" customHeight="false" outlineLevel="0" collapsed="false">
      <c r="A20" s="6" t="s">
        <v>67</v>
      </c>
      <c r="B20" s="7" t="n">
        <f aca="false">'CFI Profiles'!I5</f>
        <v>30000</v>
      </c>
      <c r="C20" s="7" t="n">
        <f aca="false">'CFI Profiles'!I6</f>
        <v>60000</v>
      </c>
      <c r="D20" s="7" t="n">
        <f aca="false">'CFI Profiles'!I7</f>
        <v>150000</v>
      </c>
    </row>
    <row r="21" customFormat="false" ht="15" hidden="false" customHeight="false" outlineLevel="0" collapsed="false">
      <c r="A21" s="16" t="s">
        <v>68</v>
      </c>
      <c r="B21" s="29" t="n">
        <f aca="false">B19-B20</f>
        <v>42900</v>
      </c>
      <c r="C21" s="29" t="n">
        <f aca="false">C19-C20</f>
        <v>305805</v>
      </c>
      <c r="D21" s="29" t="n">
        <f aca="false">D19-D20</f>
        <v>1656600</v>
      </c>
    </row>
    <row r="22" customFormat="false" ht="15" hidden="false" customHeight="false" outlineLevel="0" collapsed="false">
      <c r="A22" s="6" t="s">
        <v>46</v>
      </c>
      <c r="B22" s="7" t="n">
        <f aca="false">'CFI Profiles'!H5</f>
        <v>60000</v>
      </c>
      <c r="C22" s="7" t="n">
        <f aca="false">'CFI Profiles'!H6</f>
        <v>150000</v>
      </c>
      <c r="D22" s="7" t="n">
        <f aca="false">'CFI Profiles'!H7</f>
        <v>350000</v>
      </c>
    </row>
    <row r="24" customFormat="false" ht="15" hidden="false" customHeight="false" outlineLevel="0" collapsed="false">
      <c r="A24" s="18" t="s">
        <v>8</v>
      </c>
      <c r="B24" s="30" t="n">
        <f aca="false">B21/B22</f>
        <v>0.715</v>
      </c>
      <c r="C24" s="30" t="n">
        <f aca="false">C21/C22</f>
        <v>2.0387</v>
      </c>
      <c r="D24" s="30" t="n">
        <f aca="false">D21/D22</f>
        <v>4.73314285714286</v>
      </c>
    </row>
    <row r="25" customFormat="false" ht="15" hidden="false" customHeight="false" outlineLevel="0" collapsed="false">
      <c r="A25" s="18" t="s">
        <v>69</v>
      </c>
      <c r="B25" s="31" t="n">
        <f aca="false">B22/B21*12</f>
        <v>16.7832167832168</v>
      </c>
      <c r="C25" s="31" t="n">
        <f aca="false">C22/C21*12</f>
        <v>5.88610388973366</v>
      </c>
      <c r="D25" s="31" t="n">
        <f aca="false">D22/D21*12</f>
        <v>2.5353132922854</v>
      </c>
    </row>
    <row r="26" customFormat="false" ht="15" hidden="false" customHeight="false" outlineLevel="0" collapsed="false">
      <c r="A26" s="18" t="s">
        <v>10</v>
      </c>
      <c r="B26" s="32" t="n">
        <f aca="false">B21*((1-(1+Assumptions!$B$19)^(-Assumptions!$B$20))/Assumptions!$B$19)-B22</f>
        <v>102624.752407622</v>
      </c>
      <c r="C26" s="32" t="n">
        <f aca="false">C21*((1-(1+Assumptions!$B$19)^(-Assumptions!$B$20))/Assumptions!$B$19)-C22</f>
        <v>1009241.54801895</v>
      </c>
      <c r="D26" s="32" t="n">
        <f aca="false">D21*((1-(1+Assumptions!$B$19)^(-Assumptions!$B$20))/Assumptions!$B$19)-D22</f>
        <v>5929817.36220204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70</v>
      </c>
      <c r="B1" s="1"/>
      <c r="C1" s="1"/>
    </row>
    <row r="2" customFormat="false" ht="15" hidden="false" customHeight="false" outlineLevel="0" collapsed="false">
      <c r="A2" s="2" t="s">
        <v>71</v>
      </c>
      <c r="B2" s="2"/>
      <c r="C2" s="2"/>
    </row>
    <row r="4" customFormat="false" ht="15" hidden="false" customHeight="false" outlineLevel="0" collapsed="false">
      <c r="A4" s="33" t="s">
        <v>72</v>
      </c>
    </row>
    <row r="5" customFormat="false" ht="15" hidden="false" customHeight="false" outlineLevel="0" collapsed="false">
      <c r="A5" s="3" t="s">
        <v>73</v>
      </c>
      <c r="B5" s="3" t="s">
        <v>6</v>
      </c>
      <c r="C5" s="3" t="s">
        <v>8</v>
      </c>
    </row>
    <row r="6" customFormat="false" ht="15" hidden="false" customHeight="false" outlineLevel="0" collapsed="false">
      <c r="A6" s="34" t="n">
        <v>0.5</v>
      </c>
      <c r="B6" s="7" t="n">
        <f aca="false">'ROI Model'!C19*A6-'ROI Model'!C20</f>
        <v>122902.5</v>
      </c>
      <c r="C6" s="8" t="n">
        <f aca="false">B6/'ROI Model'!C22</f>
        <v>0.81935</v>
      </c>
    </row>
    <row r="7" customFormat="false" ht="15" hidden="false" customHeight="false" outlineLevel="0" collapsed="false">
      <c r="A7" s="34" t="n">
        <v>0.75</v>
      </c>
      <c r="B7" s="7" t="n">
        <f aca="false">'ROI Model'!C19*A7-'ROI Model'!C20</f>
        <v>214353.75</v>
      </c>
      <c r="C7" s="8" t="n">
        <f aca="false">B7/'ROI Model'!C22</f>
        <v>1.429025</v>
      </c>
    </row>
    <row r="8" customFormat="false" ht="15" hidden="false" customHeight="false" outlineLevel="0" collapsed="false">
      <c r="A8" s="34" t="n">
        <v>1</v>
      </c>
      <c r="B8" s="7" t="n">
        <f aca="false">'ROI Model'!C19*A8-'ROI Model'!C20</f>
        <v>305805</v>
      </c>
      <c r="C8" s="8" t="n">
        <f aca="false">B8/'ROI Model'!C22</f>
        <v>2.0387</v>
      </c>
    </row>
    <row r="9" customFormat="false" ht="15" hidden="false" customHeight="false" outlineLevel="0" collapsed="false">
      <c r="A9" s="34" t="n">
        <v>1.25</v>
      </c>
      <c r="B9" s="7" t="n">
        <f aca="false">'ROI Model'!C19*A9-'ROI Model'!C20</f>
        <v>397256.25</v>
      </c>
      <c r="C9" s="8" t="n">
        <f aca="false">B9/'ROI Model'!C22</f>
        <v>2.648375</v>
      </c>
    </row>
    <row r="10" customFormat="false" ht="15" hidden="false" customHeight="false" outlineLevel="0" collapsed="false">
      <c r="A10" s="34" t="n">
        <v>1.5</v>
      </c>
      <c r="B10" s="7" t="n">
        <f aca="false">'ROI Model'!C19*A10-'ROI Model'!C20</f>
        <v>488707.5</v>
      </c>
      <c r="C10" s="8" t="n">
        <f aca="false">B10/'ROI Model'!C22</f>
        <v>3.25805</v>
      </c>
    </row>
    <row r="13" customFormat="false" ht="15" hidden="false" customHeight="false" outlineLevel="0" collapsed="false">
      <c r="A13" s="33" t="s">
        <v>74</v>
      </c>
    </row>
    <row r="14" customFormat="false" ht="15" hidden="false" customHeight="false" outlineLevel="0" collapsed="false">
      <c r="A14" s="3" t="s">
        <v>75</v>
      </c>
      <c r="B14" s="3" t="s">
        <v>6</v>
      </c>
      <c r="C14" s="3" t="s">
        <v>8</v>
      </c>
    </row>
    <row r="15" customFormat="false" ht="15" hidden="false" customHeight="false" outlineLevel="0" collapsed="false">
      <c r="A15" s="11" t="n">
        <v>0.5</v>
      </c>
      <c r="B15" s="7" t="n">
        <f aca="false">('ROI Model'!C19+(Assumptions!$F$15-A15)*('ROI Model'!C5+'ROI Model'!C6+'ROI Model'!C7+'ROI Model'!C8))-'ROI Model'!C20</f>
        <v>389127</v>
      </c>
      <c r="C15" s="8" t="n">
        <f aca="false">B15/'ROI Model'!C22</f>
        <v>2.59418</v>
      </c>
    </row>
    <row r="16" customFormat="false" ht="15" hidden="false" customHeight="false" outlineLevel="0" collapsed="false">
      <c r="A16" s="11" t="n">
        <v>0.77</v>
      </c>
      <c r="B16" s="7" t="n">
        <f aca="false">('ROI Model'!C19+(Assumptions!$F$15-A16)*('ROI Model'!C5+'ROI Model'!C6+'ROI Model'!C7+'ROI Model'!C8))-'ROI Model'!C20</f>
        <v>305805</v>
      </c>
      <c r="C16" s="8" t="n">
        <f aca="false">B16/'ROI Model'!C22</f>
        <v>2.0387</v>
      </c>
    </row>
    <row r="17" customFormat="false" ht="15" hidden="false" customHeight="false" outlineLevel="0" collapsed="false">
      <c r="A17" s="11" t="n">
        <v>1</v>
      </c>
      <c r="B17" s="7" t="n">
        <f aca="false">('ROI Model'!C19+(Assumptions!$F$15-A17)*('ROI Model'!C5+'ROI Model'!C6+'ROI Model'!C7+'ROI Model'!C8))-'ROI Model'!C20</f>
        <v>234827</v>
      </c>
      <c r="C17" s="8" t="n">
        <f aca="false">B17/'ROI Model'!C22</f>
        <v>1.56551333333333</v>
      </c>
    </row>
    <row r="18" customFormat="false" ht="15" hidden="false" customHeight="false" outlineLevel="0" collapsed="false">
      <c r="A18" s="11" t="n">
        <v>1.5</v>
      </c>
      <c r="B18" s="7" t="n">
        <f aca="false">('ROI Model'!C19+(Assumptions!$F$15-A18)*('ROI Model'!C5+'ROI Model'!C6+'ROI Model'!C7+'ROI Model'!C8))-'ROI Model'!C20</f>
        <v>80527</v>
      </c>
      <c r="C18" s="8" t="n">
        <f aca="false">B18/'ROI Model'!C22</f>
        <v>0.536846666666667</v>
      </c>
    </row>
    <row r="19" customFormat="false" ht="15" hidden="false" customHeight="false" outlineLevel="0" collapsed="false">
      <c r="A19" s="11" t="n">
        <v>2</v>
      </c>
      <c r="B19" s="7" t="n">
        <f aca="false">('ROI Model'!C19+(Assumptions!$F$15-A19)*('ROI Model'!C5+'ROI Model'!C6+'ROI Model'!C7+'ROI Model'!C8))-'ROI Model'!C20</f>
        <v>-73773.0000000001</v>
      </c>
      <c r="C19" s="8" t="n">
        <f aca="false">B19/'ROI Model'!C22</f>
        <v>-0.49182</v>
      </c>
    </row>
    <row r="21" customFormat="false" ht="15" hidden="false" customHeight="false" outlineLevel="0" collapsed="false">
      <c r="A21" s="33" t="s">
        <v>76</v>
      </c>
    </row>
    <row r="22" customFormat="false" ht="15" hidden="false" customHeight="true" outlineLevel="0" collapsed="false">
      <c r="A22" s="25" t="s">
        <v>77</v>
      </c>
      <c r="B22" s="25"/>
      <c r="C22" s="25"/>
    </row>
    <row r="23" customFormat="false" ht="15" hidden="false" customHeight="false" outlineLevel="0" collapsed="false">
      <c r="A23" s="25"/>
      <c r="B23" s="25"/>
      <c r="C23" s="25"/>
    </row>
    <row r="24" customFormat="false" ht="15" hidden="false" customHeight="false" outlineLevel="0" collapsed="false">
      <c r="A24" s="25"/>
      <c r="B24" s="25"/>
      <c r="C24" s="25"/>
    </row>
  </sheetData>
  <mergeCells count="3">
    <mergeCell ref="A1:C1"/>
    <mergeCell ref="A2:C2"/>
    <mergeCell ref="A22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35" t="s">
        <v>78</v>
      </c>
    </row>
    <row r="3" customFormat="false" ht="15.75" hidden="false" customHeight="true" outlineLevel="0" collapsed="false">
      <c r="A3" s="36" t="s">
        <v>79</v>
      </c>
    </row>
    <row r="4" customFormat="false" ht="30" hidden="false" customHeight="true" outlineLevel="0" collapsed="false">
      <c r="A4" s="37" t="s">
        <v>80</v>
      </c>
    </row>
    <row r="5" customFormat="false" ht="30" hidden="false" customHeight="true" outlineLevel="0" collapsed="false">
      <c r="A5" s="37" t="s">
        <v>81</v>
      </c>
    </row>
    <row r="7" customFormat="false" ht="15.75" hidden="false" customHeight="true" outlineLevel="0" collapsed="false">
      <c r="A7" s="36" t="s">
        <v>82</v>
      </c>
    </row>
    <row r="8" customFormat="false" ht="30" hidden="false" customHeight="true" outlineLevel="0" collapsed="false">
      <c r="A8" s="37" t="s">
        <v>83</v>
      </c>
    </row>
    <row r="9" customFormat="false" ht="30" hidden="false" customHeight="true" outlineLevel="0" collapsed="false">
      <c r="A9" s="37" t="s">
        <v>84</v>
      </c>
    </row>
    <row r="10" customFormat="false" ht="30" hidden="false" customHeight="true" outlineLevel="0" collapsed="false">
      <c r="A10" s="37" t="s">
        <v>85</v>
      </c>
    </row>
    <row r="11" customFormat="false" ht="30" hidden="false" customHeight="true" outlineLevel="0" collapsed="false">
      <c r="A11" s="37" t="s">
        <v>86</v>
      </c>
    </row>
    <row r="13" customFormat="false" ht="15.75" hidden="false" customHeight="true" outlineLevel="0" collapsed="false">
      <c r="A13" s="36" t="s">
        <v>87</v>
      </c>
    </row>
    <row r="14" customFormat="false" ht="30" hidden="false" customHeight="true" outlineLevel="0" collapsed="false">
      <c r="A14" s="37" t="s">
        <v>88</v>
      </c>
    </row>
    <row r="16" customFormat="false" ht="15.75" hidden="false" customHeight="true" outlineLevel="0" collapsed="false">
      <c r="A16" s="36" t="s">
        <v>89</v>
      </c>
    </row>
    <row r="17" customFormat="false" ht="30" hidden="false" customHeight="true" outlineLevel="0" collapsed="false">
      <c r="A17" s="3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35" t="s">
        <v>91</v>
      </c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94</v>
      </c>
    </row>
    <row r="4" customFormat="false" ht="27.75" hidden="false" customHeight="true" outlineLevel="0" collapsed="false">
      <c r="A4" s="4" t="s">
        <v>95</v>
      </c>
      <c r="B4" s="38" t="s">
        <v>96</v>
      </c>
      <c r="C4" s="38" t="s">
        <v>97</v>
      </c>
    </row>
    <row r="5" customFormat="false" ht="27.75" hidden="false" customHeight="true" outlineLevel="0" collapsed="false">
      <c r="A5" s="4" t="s">
        <v>98</v>
      </c>
      <c r="B5" s="38" t="s">
        <v>99</v>
      </c>
      <c r="C5" s="38" t="s">
        <v>100</v>
      </c>
    </row>
    <row r="6" customFormat="false" ht="27.75" hidden="false" customHeight="true" outlineLevel="0" collapsed="false">
      <c r="A6" s="4" t="s">
        <v>101</v>
      </c>
      <c r="B6" s="38" t="s">
        <v>102</v>
      </c>
      <c r="C6" s="38" t="s">
        <v>103</v>
      </c>
    </row>
    <row r="7" customFormat="false" ht="27.75" hidden="false" customHeight="true" outlineLevel="0" collapsed="false">
      <c r="A7" s="4" t="s">
        <v>104</v>
      </c>
      <c r="B7" s="38" t="s">
        <v>105</v>
      </c>
      <c r="C7" s="38" t="s">
        <v>106</v>
      </c>
    </row>
    <row r="8" customFormat="false" ht="27.75" hidden="false" customHeight="true" outlineLevel="0" collapsed="false">
      <c r="A8" s="4" t="s">
        <v>107</v>
      </c>
      <c r="B8" s="38" t="s">
        <v>108</v>
      </c>
      <c r="C8" s="38" t="s">
        <v>109</v>
      </c>
    </row>
    <row r="9" customFormat="false" ht="27.75" hidden="false" customHeight="true" outlineLevel="0" collapsed="false">
      <c r="A9" s="4" t="s">
        <v>110</v>
      </c>
      <c r="B9" s="38" t="s">
        <v>111</v>
      </c>
      <c r="C9" s="38" t="s">
        <v>112</v>
      </c>
    </row>
    <row r="10" customFormat="false" ht="27.75" hidden="false" customHeight="true" outlineLevel="0" collapsed="false">
      <c r="A10" s="4" t="s">
        <v>113</v>
      </c>
      <c r="B10" s="38" t="s">
        <v>114</v>
      </c>
      <c r="C10" s="38" t="s">
        <v>115</v>
      </c>
    </row>
    <row r="11" customFormat="false" ht="27.75" hidden="false" customHeight="true" outlineLevel="0" collapsed="false">
      <c r="A11" s="4" t="s">
        <v>116</v>
      </c>
      <c r="B11" s="38" t="s">
        <v>117</v>
      </c>
      <c r="C11" s="38" t="s">
        <v>118</v>
      </c>
    </row>
    <row r="14" customFormat="false" ht="15" hidden="false" customHeight="false" outlineLevel="0" collapsed="false">
      <c r="A14" s="3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2026-07-02T04:39:03Z</dcterms:created>
  <dc:creator>openpyxl</dc:creator>
  <dc:description/>
  <dc:language>en-US</dc:language>
  <cp:lastModifiedBy/>
  <dcterms:modified xsi:type="dcterms:W3CDTF">2026-07-02T00:39:15Z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